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costs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'Data'!$A$2:$A$10</f>
            </numRef>
          </cat>
          <val>
            <numRef>
              <f>'Data'!$B$2:$B$10</f>
            </numRef>
          </val>
        </ser>
        <ser>
          <idx val="1"/>
          <order val="1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'Data'!$A$2:$A$10</f>
            </numRef>
          </cat>
          <val>
            <numRef>
              <f>'Data'!$C$2:$C$10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service</a:t>
            </a:r>
          </a:p>
        </rich>
      </tx>
    </title>
    <plotArea>
      <pieChart>
        <varyColors val="1"/>
        <ser>
          <idx val="0"/>
          <order val="0"/>
          <tx>
            <strRef>
              <f>'Categories'!B1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'Categories'!$A$2:$A$5</f>
            </numRef>
          </cat>
          <val>
            <numRef>
              <f>'Categories'!$B$2:$B$5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Hollow Green Services: KPI dashboard (DEMO PROJECT, fictional data)</t>
        </is>
      </c>
    </row>
    <row r="3">
      <c r="A3" s="2" t="inlineStr">
        <is>
          <t>Total revenue</t>
        </is>
      </c>
      <c r="B3">
        <f>SUM(Data!B2:B10)</f>
        <v/>
      </c>
    </row>
    <row r="4">
      <c r="A4" s="2" t="inlineStr">
        <is>
          <t>Total profit</t>
        </is>
      </c>
      <c r="B4">
        <f>SUM(Data!E2:E10)</f>
        <v/>
      </c>
    </row>
    <row r="5">
      <c r="A5" s="2" t="inlineStr">
        <is>
          <t>Avg margin</t>
        </is>
      </c>
      <c r="B5" s="3">
        <f>AVERAGE(Data!F2:F10)</f>
        <v/>
      </c>
    </row>
    <row r="6">
      <c r="A6" s="2" t="inlineStr">
        <is>
          <t>Total jobs</t>
        </is>
      </c>
      <c r="B6">
        <f>SUM(Data!D2:D10)</f>
        <v/>
      </c>
    </row>
    <row r="7">
      <c r="A7" s="2" t="inlineStr">
        <is>
          <t>Revenue per job</t>
        </is>
      </c>
      <c r="B7">
        <f>B3/B6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 £</t>
        </is>
      </c>
      <c r="C1" t="inlineStr">
        <is>
          <t>Costs £</t>
        </is>
      </c>
      <c r="D1" t="inlineStr">
        <is>
          <t>Jobs</t>
        </is>
      </c>
      <c r="E1" t="inlineStr">
        <is>
          <t>Profit £</t>
        </is>
      </c>
      <c r="F1" t="inlineStr">
        <is>
          <t>Margin %</t>
        </is>
      </c>
    </row>
    <row r="2">
      <c r="A2" t="inlineStr">
        <is>
          <t>Jan</t>
        </is>
      </c>
      <c r="B2" t="n">
        <v>8652</v>
      </c>
      <c r="C2" t="n">
        <v>4117</v>
      </c>
      <c r="D2" t="n">
        <v>32</v>
      </c>
      <c r="E2">
        <f>B2-C2</f>
        <v/>
      </c>
      <c r="F2" s="3">
        <f>IF(B2=0,0,E2/B2)</f>
        <v/>
      </c>
    </row>
    <row r="3">
      <c r="A3" t="inlineStr">
        <is>
          <t>Feb</t>
        </is>
      </c>
      <c r="B3" t="n">
        <v>6395</v>
      </c>
      <c r="C3" t="n">
        <v>3796</v>
      </c>
      <c r="D3" t="n">
        <v>37</v>
      </c>
      <c r="E3">
        <f>B3-C3</f>
        <v/>
      </c>
      <c r="F3" s="3">
        <f>IF(B3=0,0,E3/B3)</f>
        <v/>
      </c>
    </row>
    <row r="4">
      <c r="A4" t="inlineStr">
        <is>
          <t>Mar</t>
        </is>
      </c>
      <c r="B4" t="n">
        <v>6771</v>
      </c>
      <c r="C4" t="n">
        <v>4997</v>
      </c>
      <c r="D4" t="n">
        <v>38</v>
      </c>
      <c r="E4">
        <f>B4-C4</f>
        <v/>
      </c>
      <c r="F4" s="3">
        <f>IF(B4=0,0,E4/B4)</f>
        <v/>
      </c>
    </row>
    <row r="5">
      <c r="A5" t="inlineStr">
        <is>
          <t>Apr</t>
        </is>
      </c>
      <c r="B5" t="n">
        <v>6475</v>
      </c>
      <c r="C5" t="n">
        <v>5578</v>
      </c>
      <c r="D5" t="n">
        <v>26</v>
      </c>
      <c r="E5">
        <f>B5-C5</f>
        <v/>
      </c>
      <c r="F5" s="3">
        <f>IF(B5=0,0,E5/B5)</f>
        <v/>
      </c>
    </row>
    <row r="6">
      <c r="A6" t="inlineStr">
        <is>
          <t>May</t>
        </is>
      </c>
      <c r="B6" t="n">
        <v>6307</v>
      </c>
      <c r="C6" t="n">
        <v>3852</v>
      </c>
      <c r="D6" t="n">
        <v>33</v>
      </c>
      <c r="E6">
        <f>B6-C6</f>
        <v/>
      </c>
      <c r="F6" s="3">
        <f>IF(B6=0,0,E6/B6)</f>
        <v/>
      </c>
    </row>
    <row r="7">
      <c r="A7" t="inlineStr">
        <is>
          <t>Jun</t>
        </is>
      </c>
      <c r="B7" t="n">
        <v>9425</v>
      </c>
      <c r="C7" t="n">
        <v>3786</v>
      </c>
      <c r="D7" t="n">
        <v>27</v>
      </c>
      <c r="E7">
        <f>B7-C7</f>
        <v/>
      </c>
      <c r="F7" s="3">
        <f>IF(B7=0,0,E7/B7)</f>
        <v/>
      </c>
    </row>
    <row r="8">
      <c r="A8" t="inlineStr">
        <is>
          <t>Jul</t>
        </is>
      </c>
      <c r="B8" t="n">
        <v>6743</v>
      </c>
      <c r="C8" t="n">
        <v>5757</v>
      </c>
      <c r="D8" t="n">
        <v>33</v>
      </c>
      <c r="E8">
        <f>B8-C8</f>
        <v/>
      </c>
      <c r="F8" s="3">
        <f>IF(B8=0,0,E8/B8)</f>
        <v/>
      </c>
    </row>
    <row r="9">
      <c r="A9" t="inlineStr">
        <is>
          <t>Aug</t>
        </is>
      </c>
      <c r="B9" t="n">
        <v>6484</v>
      </c>
      <c r="C9" t="n">
        <v>5816</v>
      </c>
      <c r="D9" t="n">
        <v>23</v>
      </c>
      <c r="E9">
        <f>B9-C9</f>
        <v/>
      </c>
      <c r="F9" s="3">
        <f>IF(B9=0,0,E9/B9)</f>
        <v/>
      </c>
    </row>
    <row r="10">
      <c r="A10" t="inlineStr">
        <is>
          <t>Sep</t>
        </is>
      </c>
      <c r="B10" t="n">
        <v>7828</v>
      </c>
      <c r="C10" t="n">
        <v>5887</v>
      </c>
      <c r="D10" t="n">
        <v>21</v>
      </c>
      <c r="E10">
        <f>B10-C10</f>
        <v/>
      </c>
      <c r="F10" s="3">
        <f>IF(B10=0,0,E10/B10)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Revenue £</t>
        </is>
      </c>
    </row>
    <row r="2">
      <c r="A2" t="inlineStr">
        <is>
          <t>Repairs</t>
        </is>
      </c>
      <c r="B2" t="n">
        <v>21000</v>
      </c>
    </row>
    <row r="3">
      <c r="A3" t="inlineStr">
        <is>
          <t>Installs</t>
        </is>
      </c>
      <c r="B3" t="n">
        <v>28000</v>
      </c>
    </row>
    <row r="4">
      <c r="A4" t="inlineStr">
        <is>
          <t>Servicing</t>
        </is>
      </c>
      <c r="B4" t="n">
        <v>14000</v>
      </c>
    </row>
    <row r="5">
      <c r="A5" t="inlineStr">
        <is>
          <t>Call-outs</t>
        </is>
      </c>
      <c r="B5" t="n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2026-10-17T17:19:04Z</dcterms:created>
  <dcterms:modified xmlns:dcterms="http://purl.org/dc/terms/" xmlns:xsi="http://www.w3.org/2001/XMLSchema-instance" xsi:type="dcterms:W3CDTF">2026-10-17T17:19:04Z</dcterms:modified>
</cp:coreProperties>
</file>